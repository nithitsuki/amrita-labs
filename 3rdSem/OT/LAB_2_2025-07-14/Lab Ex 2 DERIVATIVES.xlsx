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c00116cf711500d1/Desktop/23MAT206_lab/"/>
    </mc:Choice>
  </mc:AlternateContent>
  <xr:revisionPtr revIDLastSave="10" documentId="11_4CF2906C518E8E750B77377748CD964D97D4B1D7" xr6:coauthVersionLast="47" xr6:coauthVersionMax="47" xr10:uidLastSave="{30AA3A61-F0E3-492F-B0B0-94FCC14747A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" i="2"/>
  <c r="D62" i="2" l="1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B20" i="1" l="1"/>
  <c r="C20" i="1" s="1"/>
  <c r="F20" i="1" s="1"/>
  <c r="D20" i="1"/>
  <c r="E20" i="1" s="1"/>
  <c r="G20" i="1"/>
  <c r="I20" i="1"/>
  <c r="B21" i="1"/>
  <c r="C21" i="1" s="1"/>
  <c r="F21" i="1" s="1"/>
  <c r="D21" i="1"/>
  <c r="E21" i="1"/>
  <c r="J21" i="1" s="1"/>
  <c r="G21" i="1"/>
  <c r="I21" i="1"/>
  <c r="B22" i="1"/>
  <c r="C22" i="1" s="1"/>
  <c r="F22" i="1" s="1"/>
  <c r="G22" i="1"/>
  <c r="I22" i="1"/>
  <c r="B23" i="1"/>
  <c r="C23" i="1" s="1"/>
  <c r="F23" i="1" s="1"/>
  <c r="D23" i="1"/>
  <c r="E23" i="1"/>
  <c r="J23" i="1" s="1"/>
  <c r="G23" i="1"/>
  <c r="I23" i="1"/>
  <c r="B24" i="1"/>
  <c r="C24" i="1" s="1"/>
  <c r="F24" i="1" s="1"/>
  <c r="G24" i="1"/>
  <c r="I24" i="1"/>
  <c r="B25" i="1"/>
  <c r="C25" i="1" s="1"/>
  <c r="F25" i="1" s="1"/>
  <c r="D25" i="1"/>
  <c r="E25" i="1"/>
  <c r="J25" i="1" s="1"/>
  <c r="G25" i="1"/>
  <c r="I25" i="1"/>
  <c r="B26" i="1"/>
  <c r="C26" i="1" s="1"/>
  <c r="F26" i="1" s="1"/>
  <c r="G26" i="1"/>
  <c r="I26" i="1"/>
  <c r="B27" i="1"/>
  <c r="C27" i="1" s="1"/>
  <c r="F27" i="1" s="1"/>
  <c r="D27" i="1"/>
  <c r="E27" i="1"/>
  <c r="J27" i="1" s="1"/>
  <c r="G27" i="1"/>
  <c r="I27" i="1"/>
  <c r="B28" i="1"/>
  <c r="C28" i="1" s="1"/>
  <c r="F28" i="1" s="1"/>
  <c r="G28" i="1"/>
  <c r="I28" i="1"/>
  <c r="B19" i="1"/>
  <c r="C19" i="1" s="1"/>
  <c r="F19" i="1" s="1"/>
  <c r="B5" i="1"/>
  <c r="D5" i="1"/>
  <c r="E5" i="1" s="1"/>
  <c r="G5" i="1"/>
  <c r="I5" i="1"/>
  <c r="B6" i="1"/>
  <c r="D6" i="1" s="1"/>
  <c r="E6" i="1" s="1"/>
  <c r="H6" i="1" s="1"/>
  <c r="G6" i="1"/>
  <c r="I6" i="1"/>
  <c r="B7" i="1"/>
  <c r="D7" i="1"/>
  <c r="E7" i="1" s="1"/>
  <c r="G7" i="1"/>
  <c r="I7" i="1"/>
  <c r="B8" i="1"/>
  <c r="D8" i="1"/>
  <c r="E8" i="1" s="1"/>
  <c r="G8" i="1"/>
  <c r="I8" i="1"/>
  <c r="B9" i="1"/>
  <c r="D9" i="1"/>
  <c r="E9" i="1" s="1"/>
  <c r="G9" i="1"/>
  <c r="I9" i="1"/>
  <c r="B10" i="1"/>
  <c r="D10" i="1"/>
  <c r="E10" i="1" s="1"/>
  <c r="H10" i="1" s="1"/>
  <c r="G10" i="1"/>
  <c r="I10" i="1"/>
  <c r="B11" i="1"/>
  <c r="D11" i="1"/>
  <c r="E11" i="1" s="1"/>
  <c r="G11" i="1"/>
  <c r="I11" i="1"/>
  <c r="B12" i="1"/>
  <c r="D12" i="1"/>
  <c r="E12" i="1" s="1"/>
  <c r="H12" i="1" s="1"/>
  <c r="G12" i="1"/>
  <c r="I12" i="1"/>
  <c r="B13" i="1"/>
  <c r="D13" i="1"/>
  <c r="E13" i="1" s="1"/>
  <c r="G13" i="1"/>
  <c r="I13" i="1"/>
  <c r="B4" i="1"/>
  <c r="I4" i="1"/>
  <c r="G4" i="1"/>
  <c r="I19" i="1"/>
  <c r="G19" i="1"/>
  <c r="K19" i="1" s="1"/>
  <c r="D19" i="1"/>
  <c r="E19" i="1" s="1"/>
  <c r="D4" i="1"/>
  <c r="E4" i="1" s="1"/>
  <c r="H4" i="1" s="1"/>
  <c r="H5" i="1" l="1"/>
  <c r="H11" i="1"/>
  <c r="H7" i="1"/>
  <c r="H13" i="1"/>
  <c r="H9" i="1"/>
  <c r="H8" i="1"/>
  <c r="J19" i="1"/>
  <c r="H19" i="1"/>
  <c r="J20" i="1"/>
  <c r="H20" i="1"/>
  <c r="K28" i="1"/>
  <c r="K26" i="1"/>
  <c r="K24" i="1"/>
  <c r="K22" i="1"/>
  <c r="K20" i="1"/>
  <c r="H27" i="1"/>
  <c r="H25" i="1"/>
  <c r="H23" i="1"/>
  <c r="H21" i="1"/>
  <c r="D28" i="1"/>
  <c r="E28" i="1" s="1"/>
  <c r="K27" i="1"/>
  <c r="D26" i="1"/>
  <c r="E26" i="1" s="1"/>
  <c r="K25" i="1"/>
  <c r="D24" i="1"/>
  <c r="E24" i="1" s="1"/>
  <c r="K23" i="1"/>
  <c r="D22" i="1"/>
  <c r="E22" i="1" s="1"/>
  <c r="K21" i="1"/>
  <c r="J22" i="1" l="1"/>
  <c r="H22" i="1"/>
  <c r="J26" i="1"/>
  <c r="H26" i="1"/>
  <c r="J24" i="1"/>
  <c r="H24" i="1"/>
  <c r="J28" i="1"/>
  <c r="H28" i="1"/>
</calcChain>
</file>

<file path=xl/sharedStrings.xml><?xml version="1.0" encoding="utf-8"?>
<sst xmlns="http://schemas.openxmlformats.org/spreadsheetml/2006/main" count="32" uniqueCount="30">
  <si>
    <t>a</t>
  </si>
  <si>
    <t>f(x)=sinx</t>
  </si>
  <si>
    <t>f(x)=x^2</t>
  </si>
  <si>
    <t>dela</t>
  </si>
  <si>
    <t>a+dela</t>
  </si>
  <si>
    <t>f(a+dela)</t>
  </si>
  <si>
    <t>f(a)</t>
  </si>
  <si>
    <t>f'(a)=(f(a+dela)-f(a)/dela</t>
  </si>
  <si>
    <t>f'(a)=2x</t>
  </si>
  <si>
    <t>FORWARD DIFF</t>
  </si>
  <si>
    <t>CENTRAL DIFF</t>
  </si>
  <si>
    <t>x</t>
  </si>
  <si>
    <t>dela(x)</t>
  </si>
  <si>
    <t>x+dela(x)</t>
  </si>
  <si>
    <t>f(x+dela(x))</t>
  </si>
  <si>
    <t>f(x)</t>
  </si>
  <si>
    <t>f'(x)=(f(x+dela(x))-f(x))/dela(x)</t>
  </si>
  <si>
    <t>f'(x)=cosx</t>
  </si>
  <si>
    <t>f(x-dela(x)</t>
  </si>
  <si>
    <t>x-del(x)</t>
  </si>
  <si>
    <t>Direct</t>
  </si>
  <si>
    <t>f'(x)</t>
  </si>
  <si>
    <t>FORWARD</t>
  </si>
  <si>
    <t>BACKWARD</t>
  </si>
  <si>
    <t>CENTRAL</t>
  </si>
  <si>
    <t>ACTUAL DERIVATIVE VALUE</t>
  </si>
  <si>
    <t>BACKWARD DIFFERENCE</t>
  </si>
  <si>
    <t>DELTAX</t>
  </si>
  <si>
    <t>f'(x)=(f(x)-f(x-dela(x)))/dela(x)</t>
  </si>
  <si>
    <t>f'(x)=(f(x+dela(x))-f(x-dela(x)))/2*dela(x)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</si>
</sst>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 wrapText="1"/>
    </xf>
    <xf numFmtId="164" fontId="4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64" fontId="3" fillId="0" borderId="0" xfId="0" applyNumberFormat="1" applyFont="1"/>
    <xf numFmtId="164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wrapText="1"/>
    </xf>
    <xf numFmtId="164" fontId="4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f(x)=Sin(x)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820862492299699E-2"/>
          <c:y val="0.20492206079873818"/>
          <c:w val="0.938516549446892"/>
          <c:h val="0.77788695427156107"/>
        </c:manualLayout>
      </c:layout>
      <c:lineChart>
        <c:grouping val="stacked"/>
        <c:varyColors val="0"/>
        <c:ser>
          <c:idx val="0"/>
          <c:order val="0"/>
          <c:tx>
            <c:strRef>
              <c:f>Sheet1!$H$17</c:f>
              <c:strCache>
                <c:ptCount val="1"/>
                <c:pt idx="0">
                  <c:v>FORWARD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Sheet1!$H$18:$H$28</c:f>
              <c:numCache>
                <c:formatCode>0.0000000000</c:formatCode>
                <c:ptCount val="11"/>
                <c:pt idx="0">
                  <c:v>0</c:v>
                </c:pt>
                <c:pt idx="1">
                  <c:v>0.54026023141862112</c:v>
                </c:pt>
                <c:pt idx="2">
                  <c:v>-0.41623776351529251</c:v>
                </c:pt>
                <c:pt idx="3">
                  <c:v>-0.99001364975222672</c:v>
                </c:pt>
                <c:pt idx="4">
                  <c:v>-0.65349224293603791</c:v>
                </c:pt>
                <c:pt idx="5">
                  <c:v>0.2839019047073954</c:v>
                </c:pt>
                <c:pt idx="6">
                  <c:v>0.96025405368765904</c:v>
                </c:pt>
                <c:pt idx="7">
                  <c:v>0.75367224747467454</c:v>
                </c:pt>
                <c:pt idx="8">
                  <c:v>-0.14589576156617823</c:v>
                </c:pt>
                <c:pt idx="9">
                  <c:v>-0.9113155921876126</c:v>
                </c:pt>
                <c:pt idx="10">
                  <c:v>-0.83879937869801857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8-44E3-B965-4597A5ECAC07}"/>
            </c:ext>
          </c:extLst>
        </c:ser>
        <c:ser>
          <c:idx val="1"/>
          <c:order val="1"/>
          <c:tx>
            <c:strRef>
              <c:f>Sheet1!$I$17</c:f>
              <c:strCache>
                <c:ptCount val="1"/>
                <c:pt idx="0">
                  <c:v>ACTUAL DERIVATIVE 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Sheet1!$I$18:$I$28</c:f>
              <c:numCache>
                <c:formatCode>0.0000000000</c:formatCode>
                <c:ptCount val="11"/>
                <c:pt idx="0">
                  <c:v>0</c:v>
                </c:pt>
                <c:pt idx="1">
                  <c:v>0.54030230586813977</c:v>
                </c:pt>
                <c:pt idx="2">
                  <c:v>-0.41614683654714241</c:v>
                </c:pt>
                <c:pt idx="3">
                  <c:v>-0.98999249660044542</c:v>
                </c:pt>
                <c:pt idx="4">
                  <c:v>-0.65364362086361194</c:v>
                </c:pt>
                <c:pt idx="5">
                  <c:v>0.28366218546322625</c:v>
                </c:pt>
                <c:pt idx="6">
                  <c:v>0.96017028665036597</c:v>
                </c:pt>
                <c:pt idx="7">
                  <c:v>0.7539022543433046</c:v>
                </c:pt>
                <c:pt idx="8">
                  <c:v>-0.14550003380861354</c:v>
                </c:pt>
                <c:pt idx="9">
                  <c:v>-0.91113026188467694</c:v>
                </c:pt>
                <c:pt idx="10">
                  <c:v>-0.83907152907645244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E8-44E3-B965-4597A5ECAC07}"/>
            </c:ext>
          </c:extLst>
        </c:ser>
        <c:ser>
          <c:idx val="2"/>
          <c:order val="2"/>
          <c:tx>
            <c:strRef>
              <c:f>Sheet1!$J$17</c:f>
              <c:strCache>
                <c:ptCount val="1"/>
                <c:pt idx="0">
                  <c:v>CENTRAL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Sheet1!$J$18:$J$28</c:f>
              <c:numCache>
                <c:formatCode>0.0000000000</c:formatCode>
                <c:ptCount val="11"/>
                <c:pt idx="0">
                  <c:v>0</c:v>
                </c:pt>
                <c:pt idx="1">
                  <c:v>0.54030230496771026</c:v>
                </c:pt>
                <c:pt idx="2">
                  <c:v>-0.4161468337729457</c:v>
                </c:pt>
                <c:pt idx="3">
                  <c:v>-0.98999248175117105</c:v>
                </c:pt>
                <c:pt idx="4">
                  <c:v>-0.6536436034329518</c:v>
                </c:pt>
                <c:pt idx="5">
                  <c:v>0.28366217364372837</c:v>
                </c:pt>
                <c:pt idx="6">
                  <c:v>0.96017022904075944</c:v>
                </c:pt>
                <c:pt idx="7">
                  <c:v>0.75390219277477699</c:v>
                </c:pt>
                <c:pt idx="8">
                  <c:v>-0.14550001828858572</c:v>
                </c:pt>
                <c:pt idx="9">
                  <c:v>-0.91113013888175243</c:v>
                </c:pt>
                <c:pt idx="10">
                  <c:v>-0.83907138923072777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E8-44E3-B965-4597A5ECAC07}"/>
            </c:ext>
          </c:extLst>
        </c:ser>
        <c:ser>
          <c:idx val="3"/>
          <c:order val="3"/>
          <c:tx>
            <c:strRef>
              <c:f>Sheet1!$K$17</c:f>
              <c:strCache>
                <c:ptCount val="1"/>
                <c:pt idx="0">
                  <c:v>BACKWARD DIFFERENCE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Sheet1!$K$18:$K$28</c:f>
              <c:numCache>
                <c:formatCode>0.0000000000</c:formatCode>
                <c:ptCount val="11"/>
                <c:pt idx="0">
                  <c:v>0</c:v>
                </c:pt>
                <c:pt idx="1">
                  <c:v>0.5403443785167994</c:v>
                </c:pt>
                <c:pt idx="2">
                  <c:v>-0.41605590403059889</c:v>
                </c:pt>
                <c:pt idx="3">
                  <c:v>-0.98997131375011527</c:v>
                </c:pt>
                <c:pt idx="4">
                  <c:v>-0.65379496392986569</c:v>
                </c:pt>
                <c:pt idx="5">
                  <c:v>0.28342244258006133</c:v>
                </c:pt>
                <c:pt idx="6">
                  <c:v>0.96008640439385984</c:v>
                </c:pt>
                <c:pt idx="7">
                  <c:v>0.75413213807487955</c:v>
                </c:pt>
                <c:pt idx="8">
                  <c:v>-0.14510427501099321</c:v>
                </c:pt>
                <c:pt idx="9">
                  <c:v>-0.91094468557589225</c:v>
                </c:pt>
                <c:pt idx="10">
                  <c:v>-0.83934339976343697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E8-44E3-B965-4597A5ECA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919967"/>
        <c:axId val="444922463"/>
      </c:lineChart>
      <c:catAx>
        <c:axId val="444919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22463"/>
        <c:crosses val="autoZero"/>
        <c:auto val="1"/>
        <c:lblAlgn val="ctr"/>
        <c:lblOffset val="100"/>
        <c:noMultiLvlLbl val="0"/>
      </c:catAx>
      <c:valAx>
        <c:axId val="44492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1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29</xdr:row>
      <xdr:rowOff>304800</xdr:rowOff>
    </xdr:from>
    <xdr:to>
      <xdr:col>8</xdr:col>
      <xdr:colOff>2202180</xdr:colOff>
      <xdr:row>42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272976</xdr:colOff>
      <xdr:row>5</xdr:row>
      <xdr:rowOff>23309</xdr:rowOff>
    </xdr:from>
    <xdr:to>
      <xdr:col>15</xdr:col>
      <xdr:colOff>136121</xdr:colOff>
      <xdr:row>10</xdr:row>
      <xdr:rowOff>175801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5076" y="937709"/>
          <a:ext cx="3520745" cy="1066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F16" zoomScale="127" workbookViewId="0">
      <selection activeCell="K18" sqref="K18"/>
    </sheetView>
  </sheetViews>
  <sheetFormatPr defaultRowHeight="25.8" x14ac:dyDescent="0.5"/>
  <cols>
    <col min="1" max="1" width="13.6640625" style="1" customWidth="1"/>
    <col min="2" max="2" width="12.21875" style="1" customWidth="1"/>
    <col min="3" max="3" width="13.77734375" style="1" customWidth="1"/>
    <col min="4" max="4" width="15.109375" style="1" customWidth="1"/>
    <col min="5" max="5" width="17.33203125" style="1" customWidth="1"/>
    <col min="6" max="6" width="15.77734375" style="1" customWidth="1"/>
    <col min="7" max="7" width="11.77734375" style="1" customWidth="1"/>
    <col min="8" max="8" width="32.109375" style="9" customWidth="1"/>
    <col min="9" max="9" width="29.6640625" style="9" customWidth="1"/>
    <col min="10" max="10" width="36.44140625" style="9" customWidth="1"/>
    <col min="11" max="11" width="28.109375" style="13" customWidth="1"/>
  </cols>
  <sheetData>
    <row r="1" spans="1:11" x14ac:dyDescent="0.5">
      <c r="A1" s="1" t="s">
        <v>2</v>
      </c>
    </row>
    <row r="3" spans="1:11" s="3" customFormat="1" x14ac:dyDescent="0.5">
      <c r="A3" s="2" t="s">
        <v>0</v>
      </c>
      <c r="B3" s="2" t="s">
        <v>3</v>
      </c>
      <c r="C3" s="2"/>
      <c r="D3" s="2" t="s">
        <v>4</v>
      </c>
      <c r="E3" s="2" t="s">
        <v>5</v>
      </c>
      <c r="F3" s="2"/>
      <c r="G3" s="3" t="s">
        <v>6</v>
      </c>
      <c r="H3" s="10" t="s">
        <v>7</v>
      </c>
      <c r="I3" s="9" t="s">
        <v>8</v>
      </c>
      <c r="J3" s="10"/>
      <c r="K3" s="14"/>
    </row>
    <row r="4" spans="1:11" x14ac:dyDescent="0.5">
      <c r="A4" s="1">
        <v>1</v>
      </c>
      <c r="B4" s="1">
        <f>0.0001*A4</f>
        <v>1E-4</v>
      </c>
      <c r="D4" s="1">
        <f>A4+B4</f>
        <v>1.0001</v>
      </c>
      <c r="E4" s="1">
        <f>(D4)^2</f>
        <v>1.0002000099999999</v>
      </c>
      <c r="G4" s="1">
        <f>A4^2</f>
        <v>1</v>
      </c>
      <c r="H4" s="9">
        <f>(E4-G4)/B4</f>
        <v>2.000099999999172</v>
      </c>
      <c r="I4" s="9">
        <f>2*A4</f>
        <v>2</v>
      </c>
    </row>
    <row r="5" spans="1:11" x14ac:dyDescent="0.5">
      <c r="A5" s="1">
        <v>2</v>
      </c>
      <c r="B5" s="1">
        <f t="shared" ref="B5:B13" si="0">0.0001*A5</f>
        <v>2.0000000000000001E-4</v>
      </c>
      <c r="D5" s="1">
        <f t="shared" ref="D5:D13" si="1">A5+B5</f>
        <v>2.0002</v>
      </c>
      <c r="E5" s="1">
        <f t="shared" ref="E5:E13" si="2">(D5)^2</f>
        <v>4.0008000399999997</v>
      </c>
      <c r="G5" s="1">
        <f t="shared" ref="G5:G13" si="3">A5^2</f>
        <v>4</v>
      </c>
      <c r="H5" s="9">
        <f t="shared" ref="H5:H13" si="4">(E5-G5)/B5</f>
        <v>4.000199999998344</v>
      </c>
      <c r="I5" s="9">
        <f t="shared" ref="I5:I13" si="5">2*A5</f>
        <v>4</v>
      </c>
    </row>
    <row r="6" spans="1:11" x14ac:dyDescent="0.5">
      <c r="A6" s="1">
        <v>3</v>
      </c>
      <c r="B6" s="1">
        <f t="shared" si="0"/>
        <v>3.0000000000000003E-4</v>
      </c>
      <c r="D6" s="1">
        <f t="shared" si="1"/>
        <v>3.0003000000000002</v>
      </c>
      <c r="E6" s="1">
        <f t="shared" si="2"/>
        <v>9.0018000900000015</v>
      </c>
      <c r="G6" s="1">
        <f t="shared" si="3"/>
        <v>9</v>
      </c>
      <c r="H6" s="9">
        <f t="shared" si="4"/>
        <v>6.0003000000049171</v>
      </c>
      <c r="I6" s="9">
        <f t="shared" si="5"/>
        <v>6</v>
      </c>
    </row>
    <row r="7" spans="1:11" x14ac:dyDescent="0.5">
      <c r="A7" s="1">
        <v>4</v>
      </c>
      <c r="B7" s="1">
        <f t="shared" si="0"/>
        <v>4.0000000000000002E-4</v>
      </c>
      <c r="D7" s="1">
        <f t="shared" si="1"/>
        <v>4.0004</v>
      </c>
      <c r="E7" s="1">
        <f t="shared" si="2"/>
        <v>16.003200159999999</v>
      </c>
      <c r="G7" s="1">
        <f t="shared" si="3"/>
        <v>16</v>
      </c>
      <c r="H7" s="9">
        <f t="shared" si="4"/>
        <v>8.0003999999966879</v>
      </c>
      <c r="I7" s="9">
        <f t="shared" si="5"/>
        <v>8</v>
      </c>
    </row>
    <row r="8" spans="1:11" x14ac:dyDescent="0.5">
      <c r="A8" s="1">
        <v>5</v>
      </c>
      <c r="B8" s="1">
        <f t="shared" si="0"/>
        <v>5.0000000000000001E-4</v>
      </c>
      <c r="D8" s="1">
        <f t="shared" si="1"/>
        <v>5.0004999999999997</v>
      </c>
      <c r="E8" s="1">
        <f t="shared" si="2"/>
        <v>25.005000249999998</v>
      </c>
      <c r="G8" s="1">
        <f t="shared" si="3"/>
        <v>25</v>
      </c>
      <c r="H8" s="9">
        <f t="shared" si="4"/>
        <v>10.000499999996748</v>
      </c>
      <c r="I8" s="9">
        <f t="shared" si="5"/>
        <v>10</v>
      </c>
    </row>
    <row r="9" spans="1:11" x14ac:dyDescent="0.5">
      <c r="A9" s="1">
        <v>6</v>
      </c>
      <c r="B9" s="1">
        <f t="shared" si="0"/>
        <v>6.0000000000000006E-4</v>
      </c>
      <c r="D9" s="1">
        <f t="shared" si="1"/>
        <v>6.0006000000000004</v>
      </c>
      <c r="E9" s="1">
        <f t="shared" si="2"/>
        <v>36.007200360000006</v>
      </c>
      <c r="G9" s="1">
        <f t="shared" si="3"/>
        <v>36</v>
      </c>
      <c r="H9" s="9">
        <f t="shared" si="4"/>
        <v>12.000600000009834</v>
      </c>
      <c r="I9" s="9">
        <f t="shared" si="5"/>
        <v>12</v>
      </c>
    </row>
    <row r="10" spans="1:11" x14ac:dyDescent="0.5">
      <c r="A10" s="1">
        <v>7</v>
      </c>
      <c r="B10" s="1">
        <f t="shared" si="0"/>
        <v>6.9999999999999999E-4</v>
      </c>
      <c r="D10" s="1">
        <f t="shared" si="1"/>
        <v>7.0007000000000001</v>
      </c>
      <c r="E10" s="1">
        <f t="shared" si="2"/>
        <v>49.009800490000003</v>
      </c>
      <c r="G10" s="1">
        <f t="shared" si="3"/>
        <v>49</v>
      </c>
      <c r="H10" s="9">
        <f t="shared" si="4"/>
        <v>14.00070000000499</v>
      </c>
      <c r="I10" s="9">
        <f t="shared" si="5"/>
        <v>14</v>
      </c>
    </row>
    <row r="11" spans="1:11" x14ac:dyDescent="0.5">
      <c r="A11" s="1">
        <v>8</v>
      </c>
      <c r="B11" s="1">
        <f t="shared" si="0"/>
        <v>8.0000000000000004E-4</v>
      </c>
      <c r="D11" s="1">
        <f t="shared" si="1"/>
        <v>8.0007999999999999</v>
      </c>
      <c r="E11" s="1">
        <f t="shared" si="2"/>
        <v>64.012800639999995</v>
      </c>
      <c r="G11" s="1">
        <f t="shared" si="3"/>
        <v>64</v>
      </c>
      <c r="H11" s="9">
        <f t="shared" si="4"/>
        <v>16.000799999993376</v>
      </c>
      <c r="I11" s="9">
        <f t="shared" si="5"/>
        <v>16</v>
      </c>
    </row>
    <row r="12" spans="1:11" x14ac:dyDescent="0.5">
      <c r="A12" s="1">
        <v>9</v>
      </c>
      <c r="B12" s="1">
        <f t="shared" si="0"/>
        <v>9.0000000000000008E-4</v>
      </c>
      <c r="D12" s="1">
        <f t="shared" si="1"/>
        <v>9.0008999999999997</v>
      </c>
      <c r="E12" s="1">
        <f t="shared" si="2"/>
        <v>81.016200810000001</v>
      </c>
      <c r="G12" s="1">
        <f t="shared" si="3"/>
        <v>81</v>
      </c>
      <c r="H12" s="9">
        <f t="shared" si="4"/>
        <v>18.000900000000936</v>
      </c>
      <c r="I12" s="9">
        <f t="shared" si="5"/>
        <v>18</v>
      </c>
    </row>
    <row r="13" spans="1:11" x14ac:dyDescent="0.5">
      <c r="A13" s="1">
        <v>10</v>
      </c>
      <c r="B13" s="1">
        <f t="shared" si="0"/>
        <v>1E-3</v>
      </c>
      <c r="D13" s="1">
        <f t="shared" si="1"/>
        <v>10.000999999999999</v>
      </c>
      <c r="E13" s="1">
        <f t="shared" si="2"/>
        <v>100.02000099999999</v>
      </c>
      <c r="G13" s="1">
        <f t="shared" si="3"/>
        <v>100</v>
      </c>
      <c r="H13" s="9">
        <f t="shared" si="4"/>
        <v>20.000999999993496</v>
      </c>
      <c r="I13" s="9">
        <f t="shared" si="5"/>
        <v>20</v>
      </c>
    </row>
    <row r="16" spans="1:11" x14ac:dyDescent="0.5">
      <c r="A16" s="1" t="s">
        <v>1</v>
      </c>
    </row>
    <row r="17" spans="1:11" ht="77.400000000000006" x14ac:dyDescent="0.5">
      <c r="H17" s="11" t="s">
        <v>9</v>
      </c>
      <c r="I17" s="15" t="s">
        <v>25</v>
      </c>
      <c r="J17" s="15" t="s">
        <v>10</v>
      </c>
      <c r="K17" s="16" t="s">
        <v>26</v>
      </c>
    </row>
    <row r="18" spans="1:11" ht="51.6" x14ac:dyDescent="0.5">
      <c r="A18" s="4" t="s">
        <v>11</v>
      </c>
      <c r="B18" s="4" t="s">
        <v>12</v>
      </c>
      <c r="C18" s="4" t="s">
        <v>19</v>
      </c>
      <c r="D18" s="4" t="s">
        <v>13</v>
      </c>
      <c r="E18" s="4" t="s">
        <v>14</v>
      </c>
      <c r="F18" s="4" t="s">
        <v>18</v>
      </c>
      <c r="G18" s="5" t="s">
        <v>15</v>
      </c>
      <c r="H18" s="17" t="s">
        <v>16</v>
      </c>
      <c r="I18" s="12" t="s">
        <v>17</v>
      </c>
      <c r="J18" s="9" t="s">
        <v>29</v>
      </c>
      <c r="K18" s="13" t="s">
        <v>28</v>
      </c>
    </row>
    <row r="19" spans="1:11" x14ac:dyDescent="0.5">
      <c r="A19" s="4">
        <v>1</v>
      </c>
      <c r="B19" s="4">
        <f>0.0001*A19</f>
        <v>1E-4</v>
      </c>
      <c r="C19" s="4">
        <f>A19-B19</f>
        <v>0.99990000000000001</v>
      </c>
      <c r="D19" s="4">
        <f>A19+B19</f>
        <v>1.0001</v>
      </c>
      <c r="E19" s="4">
        <f>SIN(D19)</f>
        <v>0.84152501083103837</v>
      </c>
      <c r="F19" s="4">
        <f>SIN(C19)</f>
        <v>0.84141695037004482</v>
      </c>
      <c r="G19" s="4">
        <f>SIN(A19)</f>
        <v>0.8414709848078965</v>
      </c>
      <c r="H19" s="12">
        <f>(E19-G19)/B19</f>
        <v>0.54026023141862112</v>
      </c>
      <c r="I19" s="12">
        <f t="shared" ref="I19:I28" si="6">COS(A19)</f>
        <v>0.54030230586813977</v>
      </c>
      <c r="J19" s="12">
        <f>(E19-F19)/(2*B19)</f>
        <v>0.54030230496771026</v>
      </c>
      <c r="K19" s="12">
        <f>(G19-F19)/(B19)</f>
        <v>0.5403443785167994</v>
      </c>
    </row>
    <row r="20" spans="1:11" x14ac:dyDescent="0.5">
      <c r="A20" s="4">
        <v>2</v>
      </c>
      <c r="B20" s="4">
        <f t="shared" ref="B20:B28" si="7">0.0001*A20</f>
        <v>2.0000000000000001E-4</v>
      </c>
      <c r="C20" s="4">
        <f t="shared" ref="C20:C28" si="8">A20-B20</f>
        <v>1.9998</v>
      </c>
      <c r="D20" s="4">
        <f t="shared" ref="D20:D28" si="9">A20+B20</f>
        <v>2.0002</v>
      </c>
      <c r="E20" s="4">
        <f t="shared" ref="E20:E28" si="10">SIN(D20)</f>
        <v>0.90921417927297865</v>
      </c>
      <c r="F20" s="4">
        <f t="shared" ref="F20:F28" si="11">SIN(C20)</f>
        <v>0.90938063800648783</v>
      </c>
      <c r="G20" s="4">
        <f t="shared" ref="G20:G28" si="12">SIN(A20)</f>
        <v>0.90929742682568171</v>
      </c>
      <c r="H20" s="12">
        <f t="shared" ref="H20:H28" si="13">(E20-G20)/B20</f>
        <v>-0.41623776351529251</v>
      </c>
      <c r="I20" s="12">
        <f t="shared" si="6"/>
        <v>-0.41614683654714241</v>
      </c>
      <c r="J20" s="12">
        <f t="shared" ref="J20:J28" si="14">(E20-F20)/(2*B20)</f>
        <v>-0.4161468337729457</v>
      </c>
      <c r="K20" s="12">
        <f t="shared" ref="K20:K28" si="15">(G20-F20)/(B20)</f>
        <v>-0.41605590403059889</v>
      </c>
    </row>
    <row r="21" spans="1:11" x14ac:dyDescent="0.5">
      <c r="A21" s="4">
        <v>3</v>
      </c>
      <c r="B21" s="4">
        <f t="shared" si="7"/>
        <v>3.0000000000000003E-4</v>
      </c>
      <c r="C21" s="4">
        <f t="shared" si="8"/>
        <v>2.9996999999999998</v>
      </c>
      <c r="D21" s="4">
        <f t="shared" si="9"/>
        <v>3.0003000000000002</v>
      </c>
      <c r="E21" s="4">
        <f t="shared" si="10"/>
        <v>0.14082300396494155</v>
      </c>
      <c r="F21" s="4">
        <f t="shared" si="11"/>
        <v>0.14141699945399225</v>
      </c>
      <c r="G21" s="4">
        <f t="shared" si="12"/>
        <v>0.14112000805986721</v>
      </c>
      <c r="H21" s="12">
        <f t="shared" si="13"/>
        <v>-0.99001364975222672</v>
      </c>
      <c r="I21" s="12">
        <f t="shared" si="6"/>
        <v>-0.98999249660044542</v>
      </c>
      <c r="J21" s="12">
        <f t="shared" si="14"/>
        <v>-0.98999248175117105</v>
      </c>
      <c r="K21" s="12">
        <f t="shared" si="15"/>
        <v>-0.98997131375011527</v>
      </c>
    </row>
    <row r="22" spans="1:11" x14ac:dyDescent="0.5">
      <c r="A22" s="4">
        <v>4</v>
      </c>
      <c r="B22" s="4">
        <f t="shared" si="7"/>
        <v>4.0000000000000002E-4</v>
      </c>
      <c r="C22" s="4">
        <f t="shared" si="8"/>
        <v>3.9996</v>
      </c>
      <c r="D22" s="4">
        <f t="shared" si="9"/>
        <v>4.0004</v>
      </c>
      <c r="E22" s="4">
        <f t="shared" si="10"/>
        <v>-0.75706389220510262</v>
      </c>
      <c r="F22" s="4">
        <f t="shared" si="11"/>
        <v>-0.75654097732235626</v>
      </c>
      <c r="G22" s="4">
        <f t="shared" si="12"/>
        <v>-0.7568024953079282</v>
      </c>
      <c r="H22" s="12">
        <f t="shared" si="13"/>
        <v>-0.65349224293603791</v>
      </c>
      <c r="I22" s="12">
        <f t="shared" si="6"/>
        <v>-0.65364362086361194</v>
      </c>
      <c r="J22" s="12">
        <f t="shared" si="14"/>
        <v>-0.6536436034329518</v>
      </c>
      <c r="K22" s="12">
        <f t="shared" si="15"/>
        <v>-0.65379496392986569</v>
      </c>
    </row>
    <row r="23" spans="1:11" x14ac:dyDescent="0.5">
      <c r="A23" s="4">
        <v>5</v>
      </c>
      <c r="B23" s="4">
        <f t="shared" si="7"/>
        <v>5.0000000000000001E-4</v>
      </c>
      <c r="C23" s="4">
        <f t="shared" si="8"/>
        <v>4.9995000000000003</v>
      </c>
      <c r="D23" s="4">
        <f t="shared" si="9"/>
        <v>5.0004999999999997</v>
      </c>
      <c r="E23" s="4">
        <f t="shared" si="10"/>
        <v>-0.95878232371078476</v>
      </c>
      <c r="F23" s="4">
        <f t="shared" si="11"/>
        <v>-0.95906598588442848</v>
      </c>
      <c r="G23" s="4">
        <f t="shared" si="12"/>
        <v>-0.95892427466313845</v>
      </c>
      <c r="H23" s="12">
        <f t="shared" si="13"/>
        <v>0.2839019047073954</v>
      </c>
      <c r="I23" s="12">
        <f t="shared" si="6"/>
        <v>0.28366218546322625</v>
      </c>
      <c r="J23" s="12">
        <f t="shared" si="14"/>
        <v>0.28366217364372837</v>
      </c>
      <c r="K23" s="12">
        <f t="shared" si="15"/>
        <v>0.28342244258006133</v>
      </c>
    </row>
    <row r="24" spans="1:11" x14ac:dyDescent="0.5">
      <c r="A24" s="4">
        <v>6</v>
      </c>
      <c r="B24" s="4">
        <f t="shared" si="7"/>
        <v>6.0000000000000006E-4</v>
      </c>
      <c r="C24" s="4">
        <f t="shared" si="8"/>
        <v>5.9993999999999996</v>
      </c>
      <c r="D24" s="4">
        <f t="shared" si="9"/>
        <v>6.0006000000000004</v>
      </c>
      <c r="E24" s="4">
        <f t="shared" si="10"/>
        <v>-0.27883934576671326</v>
      </c>
      <c r="F24" s="4">
        <f t="shared" si="11"/>
        <v>-0.27999155004156218</v>
      </c>
      <c r="G24" s="4">
        <f t="shared" si="12"/>
        <v>-0.27941549819892586</v>
      </c>
      <c r="H24" s="12">
        <f t="shared" si="13"/>
        <v>0.96025405368765904</v>
      </c>
      <c r="I24" s="12">
        <f t="shared" si="6"/>
        <v>0.96017028665036597</v>
      </c>
      <c r="J24" s="12">
        <f t="shared" si="14"/>
        <v>0.96017022904075944</v>
      </c>
      <c r="K24" s="12">
        <f t="shared" si="15"/>
        <v>0.96008640439385984</v>
      </c>
    </row>
    <row r="25" spans="1:11" x14ac:dyDescent="0.5">
      <c r="A25" s="4">
        <v>7</v>
      </c>
      <c r="B25" s="4">
        <f t="shared" si="7"/>
        <v>6.9999999999999999E-4</v>
      </c>
      <c r="C25" s="4">
        <f t="shared" si="8"/>
        <v>6.9992999999999999</v>
      </c>
      <c r="D25" s="4">
        <f t="shared" si="9"/>
        <v>7.0007000000000001</v>
      </c>
      <c r="E25" s="4">
        <f t="shared" si="10"/>
        <v>0.65751416929202133</v>
      </c>
      <c r="F25" s="4">
        <f t="shared" si="11"/>
        <v>0.65645870622213665</v>
      </c>
      <c r="G25" s="4">
        <f t="shared" si="12"/>
        <v>0.65698659871878906</v>
      </c>
      <c r="H25" s="12">
        <f t="shared" si="13"/>
        <v>0.75367224747467454</v>
      </c>
      <c r="I25" s="12">
        <f t="shared" si="6"/>
        <v>0.7539022543433046</v>
      </c>
      <c r="J25" s="12">
        <f t="shared" si="14"/>
        <v>0.75390219277477699</v>
      </c>
      <c r="K25" s="12">
        <f t="shared" si="15"/>
        <v>0.75413213807487955</v>
      </c>
    </row>
    <row r="26" spans="1:11" x14ac:dyDescent="0.5">
      <c r="A26" s="4">
        <v>8</v>
      </c>
      <c r="B26" s="4">
        <f t="shared" si="7"/>
        <v>8.0000000000000004E-4</v>
      </c>
      <c r="C26" s="4">
        <f t="shared" si="8"/>
        <v>7.9992000000000001</v>
      </c>
      <c r="D26" s="4">
        <f t="shared" si="9"/>
        <v>8.0007999999999999</v>
      </c>
      <c r="E26" s="4">
        <f t="shared" si="10"/>
        <v>0.98924153001412884</v>
      </c>
      <c r="F26" s="4">
        <f t="shared" si="11"/>
        <v>0.98947433004339058</v>
      </c>
      <c r="G26" s="4">
        <f t="shared" si="12"/>
        <v>0.98935824662338179</v>
      </c>
      <c r="H26" s="12">
        <f t="shared" si="13"/>
        <v>-0.14589576156617823</v>
      </c>
      <c r="I26" s="12">
        <f t="shared" si="6"/>
        <v>-0.14550003380861354</v>
      </c>
      <c r="J26" s="12">
        <f t="shared" si="14"/>
        <v>-0.14550001828858572</v>
      </c>
      <c r="K26" s="12">
        <f t="shared" si="15"/>
        <v>-0.14510427501099321</v>
      </c>
    </row>
    <row r="27" spans="1:11" x14ac:dyDescent="0.5">
      <c r="A27" s="4">
        <v>9</v>
      </c>
      <c r="B27" s="4">
        <f t="shared" si="7"/>
        <v>9.0000000000000008E-4</v>
      </c>
      <c r="C27" s="4">
        <f t="shared" si="8"/>
        <v>8.9991000000000003</v>
      </c>
      <c r="D27" s="4">
        <f t="shared" si="9"/>
        <v>9.0008999999999997</v>
      </c>
      <c r="E27" s="4">
        <f t="shared" si="10"/>
        <v>0.41129830120878774</v>
      </c>
      <c r="F27" s="4">
        <f t="shared" si="11"/>
        <v>0.4129383354587749</v>
      </c>
      <c r="G27" s="4">
        <f t="shared" si="12"/>
        <v>0.41211848524175659</v>
      </c>
      <c r="H27" s="12">
        <f t="shared" si="13"/>
        <v>-0.9113155921876126</v>
      </c>
      <c r="I27" s="12">
        <f t="shared" si="6"/>
        <v>-0.91113026188467694</v>
      </c>
      <c r="J27" s="12">
        <f t="shared" si="14"/>
        <v>-0.91113013888175243</v>
      </c>
      <c r="K27" s="12">
        <f t="shared" si="15"/>
        <v>-0.91094468557589225</v>
      </c>
    </row>
    <row r="28" spans="1:11" x14ac:dyDescent="0.5">
      <c r="A28" s="4">
        <v>10</v>
      </c>
      <c r="B28" s="4">
        <f t="shared" si="7"/>
        <v>1E-3</v>
      </c>
      <c r="C28" s="4">
        <f t="shared" si="8"/>
        <v>9.9990000000000006</v>
      </c>
      <c r="D28" s="4">
        <f t="shared" si="9"/>
        <v>10.000999999999999</v>
      </c>
      <c r="E28" s="4">
        <f t="shared" si="10"/>
        <v>-0.54485991026806779</v>
      </c>
      <c r="F28" s="4">
        <f t="shared" si="11"/>
        <v>-0.54318176748960634</v>
      </c>
      <c r="G28" s="4">
        <f t="shared" si="12"/>
        <v>-0.54402111088936977</v>
      </c>
      <c r="H28" s="12">
        <f t="shared" si="13"/>
        <v>-0.83879937869801857</v>
      </c>
      <c r="I28" s="12">
        <f t="shared" si="6"/>
        <v>-0.83907152907645244</v>
      </c>
      <c r="J28" s="12">
        <f t="shared" si="14"/>
        <v>-0.83907138923072777</v>
      </c>
      <c r="K28" s="12">
        <f t="shared" si="15"/>
        <v>-0.83934339976343697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3"/>
  <sheetViews>
    <sheetView topLeftCell="A36" workbookViewId="0">
      <selection activeCell="H58" sqref="H58"/>
    </sheetView>
  </sheetViews>
  <sheetFormatPr defaultRowHeight="14.4" x14ac:dyDescent="0.3"/>
  <cols>
    <col min="1" max="1" width="8.88671875" style="6"/>
    <col min="2" max="2" width="7.21875" style="3" customWidth="1"/>
    <col min="3" max="4" width="8.88671875" style="3"/>
  </cols>
  <sheetData>
    <row r="1" spans="1:7" x14ac:dyDescent="0.3">
      <c r="D1" s="3" t="s">
        <v>20</v>
      </c>
      <c r="E1" s="3" t="s">
        <v>22</v>
      </c>
      <c r="F1" s="3" t="s">
        <v>23</v>
      </c>
      <c r="G1" s="3" t="s">
        <v>24</v>
      </c>
    </row>
    <row r="2" spans="1:7" x14ac:dyDescent="0.3">
      <c r="A2" s="7" t="s">
        <v>11</v>
      </c>
      <c r="B2" s="8" t="s">
        <v>27</v>
      </c>
      <c r="C2" s="8" t="s">
        <v>15</v>
      </c>
      <c r="D2" s="8" t="s">
        <v>21</v>
      </c>
    </row>
    <row r="3" spans="1:7" x14ac:dyDescent="0.3">
      <c r="A3" s="7">
        <v>0.1</v>
      </c>
      <c r="B3" s="8">
        <f>0.001*A3</f>
        <v>1E-4</v>
      </c>
      <c r="C3" s="8">
        <f>(SQRT(A3)*LN(A3))/(1+A3*A3)</f>
        <v>-0.72093201982295052</v>
      </c>
      <c r="D3" s="8">
        <f>-(((3*A3*A3-1)*LN(A3)-(2*A3*A3)-2)/(2*SQRT(A3)*POWER((A3*A3+1),2)))</f>
        <v>-0.33093330294349543</v>
      </c>
    </row>
    <row r="4" spans="1:7" x14ac:dyDescent="0.3">
      <c r="A4" s="7">
        <v>0.2</v>
      </c>
      <c r="B4" s="8">
        <f t="shared" ref="B4:B62" si="0">0.001*A4</f>
        <v>2.0000000000000001E-4</v>
      </c>
      <c r="C4" s="8">
        <f t="shared" ref="C4:C62" si="1">(SQRT(A4)*LN(A4))/(1+A4*A4)</f>
        <v>-0.69207934187846187</v>
      </c>
      <c r="D4" s="8">
        <f t="shared" ref="D4:D62" si="2">-(((3*A4*A4-1)*LN(A4)-(2*A4*A4)-2)/(2*SQRT(A4)*POWER((A4*A4+1),2)))</f>
        <v>0.68605137054535914</v>
      </c>
    </row>
    <row r="5" spans="1:7" x14ac:dyDescent="0.3">
      <c r="A5" s="7">
        <v>0.3</v>
      </c>
      <c r="B5" s="8">
        <f t="shared" si="0"/>
        <v>2.9999999999999997E-4</v>
      </c>
      <c r="C5" s="8">
        <f t="shared" si="1"/>
        <v>-0.60499363628630143</v>
      </c>
      <c r="D5" s="8">
        <f t="shared" si="2"/>
        <v>0.99969382342711344</v>
      </c>
    </row>
    <row r="6" spans="1:7" x14ac:dyDescent="0.3">
      <c r="A6" s="7">
        <v>0.4</v>
      </c>
      <c r="B6" s="8">
        <f t="shared" si="0"/>
        <v>4.0000000000000002E-4</v>
      </c>
      <c r="C6" s="8">
        <f t="shared" si="1"/>
        <v>-0.4995802951077542</v>
      </c>
      <c r="D6" s="8">
        <f t="shared" si="2"/>
        <v>1.0831134812621974</v>
      </c>
    </row>
    <row r="7" spans="1:7" x14ac:dyDescent="0.3">
      <c r="A7" s="7">
        <v>0.5</v>
      </c>
      <c r="B7" s="8">
        <f t="shared" si="0"/>
        <v>5.0000000000000001E-4</v>
      </c>
      <c r="C7" s="8">
        <f t="shared" si="1"/>
        <v>-0.39210325738741891</v>
      </c>
      <c r="D7" s="8">
        <f t="shared" si="2"/>
        <v>1.0529501984209921</v>
      </c>
    </row>
    <row r="8" spans="1:7" x14ac:dyDescent="0.3">
      <c r="A8" s="7">
        <v>0.6</v>
      </c>
      <c r="B8" s="8">
        <f t="shared" si="0"/>
        <v>5.9999999999999995E-4</v>
      </c>
      <c r="C8" s="8">
        <f t="shared" si="1"/>
        <v>-0.29094399024436735</v>
      </c>
      <c r="D8" s="8">
        <f t="shared" si="2"/>
        <v>0.96352258437654181</v>
      </c>
    </row>
    <row r="9" spans="1:7" x14ac:dyDescent="0.3">
      <c r="A9" s="7">
        <v>0.7</v>
      </c>
      <c r="B9" s="8">
        <f t="shared" si="0"/>
        <v>6.9999999999999999E-4</v>
      </c>
      <c r="C9" s="8">
        <f t="shared" si="1"/>
        <v>-0.20027897185222804</v>
      </c>
      <c r="D9" s="8">
        <f t="shared" si="2"/>
        <v>0.84729202772708434</v>
      </c>
    </row>
    <row r="10" spans="1:7" x14ac:dyDescent="0.3">
      <c r="A10" s="7">
        <v>0.8</v>
      </c>
      <c r="B10" s="8">
        <f t="shared" si="0"/>
        <v>8.0000000000000004E-4</v>
      </c>
      <c r="C10" s="8">
        <f t="shared" si="1"/>
        <v>-0.12169857304372814</v>
      </c>
      <c r="D10" s="8">
        <f t="shared" si="2"/>
        <v>0.72439674893295025</v>
      </c>
    </row>
    <row r="11" spans="1:7" x14ac:dyDescent="0.3">
      <c r="A11" s="7">
        <v>0.9</v>
      </c>
      <c r="B11" s="8">
        <f t="shared" si="0"/>
        <v>9.0000000000000008E-4</v>
      </c>
      <c r="C11" s="8">
        <f t="shared" si="1"/>
        <v>-5.5223072640093608E-2</v>
      </c>
      <c r="D11" s="8">
        <f t="shared" si="2"/>
        <v>0.60661006444946641</v>
      </c>
    </row>
    <row r="12" spans="1:7" x14ac:dyDescent="0.3">
      <c r="A12" s="7">
        <v>1</v>
      </c>
      <c r="B12" s="8">
        <f t="shared" si="0"/>
        <v>1E-3</v>
      </c>
      <c r="C12" s="8">
        <f t="shared" si="1"/>
        <v>0</v>
      </c>
      <c r="D12" s="8">
        <f t="shared" si="2"/>
        <v>0.5</v>
      </c>
    </row>
    <row r="13" spans="1:7" x14ac:dyDescent="0.3">
      <c r="A13" s="7">
        <v>1.1000000000000001</v>
      </c>
      <c r="B13" s="8">
        <f t="shared" si="0"/>
        <v>1.1000000000000001E-3</v>
      </c>
      <c r="C13" s="8">
        <f t="shared" si="1"/>
        <v>4.5231746560843479E-2</v>
      </c>
      <c r="D13" s="8">
        <f t="shared" si="2"/>
        <v>0.40696384263374846</v>
      </c>
    </row>
    <row r="14" spans="1:7" x14ac:dyDescent="0.3">
      <c r="A14" s="7">
        <v>1.2</v>
      </c>
      <c r="B14" s="8">
        <f t="shared" si="0"/>
        <v>1.1999999999999999E-3</v>
      </c>
      <c r="C14" s="8">
        <f t="shared" si="1"/>
        <v>8.1853794570088692E-2</v>
      </c>
      <c r="D14" s="8">
        <f t="shared" si="2"/>
        <v>0.32772124864207136</v>
      </c>
    </row>
    <row r="15" spans="1:7" x14ac:dyDescent="0.3">
      <c r="A15" s="7">
        <v>1.3</v>
      </c>
      <c r="B15" s="8">
        <f t="shared" si="0"/>
        <v>1.3000000000000002E-3</v>
      </c>
      <c r="C15" s="8">
        <f t="shared" si="1"/>
        <v>0.11120493931971906</v>
      </c>
      <c r="D15" s="8">
        <f t="shared" si="2"/>
        <v>0.26133067588890746</v>
      </c>
    </row>
    <row r="16" spans="1:7" x14ac:dyDescent="0.3">
      <c r="A16" s="7">
        <v>1.4</v>
      </c>
      <c r="B16" s="8">
        <f t="shared" si="0"/>
        <v>1.4E-3</v>
      </c>
      <c r="C16" s="8">
        <f t="shared" si="1"/>
        <v>0.13449977004385594</v>
      </c>
      <c r="D16" s="8">
        <f t="shared" si="2"/>
        <v>0.20633120601180377</v>
      </c>
    </row>
    <row r="17" spans="1:4" x14ac:dyDescent="0.3">
      <c r="A17" s="7">
        <v>1.5</v>
      </c>
      <c r="B17" s="8">
        <f t="shared" si="0"/>
        <v>1.5E-3</v>
      </c>
      <c r="C17" s="8">
        <f t="shared" si="1"/>
        <v>0.15279732667191093</v>
      </c>
      <c r="D17" s="8">
        <f t="shared" si="2"/>
        <v>0.16111847327381437</v>
      </c>
    </row>
    <row r="18" spans="1:4" x14ac:dyDescent="0.3">
      <c r="A18" s="7">
        <v>1.6</v>
      </c>
      <c r="B18" s="8">
        <f t="shared" si="0"/>
        <v>1.6000000000000001E-3</v>
      </c>
      <c r="C18" s="8">
        <f t="shared" si="1"/>
        <v>0.16699797493953383</v>
      </c>
      <c r="D18" s="8">
        <f t="shared" si="2"/>
        <v>0.12414638830219599</v>
      </c>
    </row>
    <row r="19" spans="1:4" x14ac:dyDescent="0.3">
      <c r="A19" s="7">
        <v>1.7</v>
      </c>
      <c r="B19" s="8">
        <f t="shared" si="0"/>
        <v>1.6999999999999999E-3</v>
      </c>
      <c r="C19" s="8">
        <f t="shared" si="1"/>
        <v>0.17785465144436896</v>
      </c>
      <c r="D19" s="8">
        <f t="shared" si="2"/>
        <v>9.4022061507844382E-2</v>
      </c>
    </row>
    <row r="20" spans="1:4" x14ac:dyDescent="0.3">
      <c r="A20" s="7">
        <v>1.8</v>
      </c>
      <c r="B20" s="8">
        <f t="shared" si="0"/>
        <v>1.8000000000000002E-3</v>
      </c>
      <c r="C20" s="8">
        <f t="shared" si="1"/>
        <v>0.18599022721542849</v>
      </c>
      <c r="D20" s="8">
        <f t="shared" si="2"/>
        <v>6.9539229014754386E-2</v>
      </c>
    </row>
    <row r="21" spans="1:4" x14ac:dyDescent="0.3">
      <c r="A21" s="7">
        <v>1.9</v>
      </c>
      <c r="B21" s="8">
        <f t="shared" si="0"/>
        <v>1.9E-3</v>
      </c>
      <c r="C21" s="8">
        <f t="shared" si="1"/>
        <v>0.19191638305246977</v>
      </c>
      <c r="D21" s="8">
        <f t="shared" si="2"/>
        <v>4.9678713609559708E-2</v>
      </c>
    </row>
    <row r="22" spans="1:4" x14ac:dyDescent="0.3">
      <c r="A22" s="7">
        <v>2</v>
      </c>
      <c r="B22" s="8">
        <f t="shared" si="0"/>
        <v>2E-3</v>
      </c>
      <c r="C22" s="8">
        <f t="shared" si="1"/>
        <v>0.19605162869370946</v>
      </c>
      <c r="D22" s="8">
        <f t="shared" si="2"/>
        <v>3.3592960455769309E-2</v>
      </c>
    </row>
    <row r="23" spans="1:4" x14ac:dyDescent="0.3">
      <c r="A23" s="7">
        <v>2.1</v>
      </c>
      <c r="B23" s="8">
        <f t="shared" si="0"/>
        <v>2.1000000000000003E-3</v>
      </c>
      <c r="C23" s="8">
        <f t="shared" si="1"/>
        <v>0.19873740452016331</v>
      </c>
      <c r="D23" s="8">
        <f t="shared" si="2"/>
        <v>2.0584318808040229E-2</v>
      </c>
    </row>
    <row r="24" spans="1:4" x14ac:dyDescent="0.3">
      <c r="A24" s="7">
        <v>2.2000000000000002</v>
      </c>
      <c r="B24" s="8">
        <f t="shared" si="0"/>
        <v>2.2000000000000001E-3</v>
      </c>
      <c r="C24" s="8">
        <f t="shared" si="1"/>
        <v>0.20025192750249796</v>
      </c>
      <c r="D24" s="8">
        <f t="shared" si="2"/>
        <v>1.0082243734608193E-2</v>
      </c>
    </row>
    <row r="25" spans="1:4" x14ac:dyDescent="0.3">
      <c r="A25" s="7">
        <v>2.2999999999999998</v>
      </c>
      <c r="B25" s="8">
        <f t="shared" si="0"/>
        <v>2.3E-3</v>
      </c>
      <c r="C25" s="8">
        <f t="shared" si="1"/>
        <v>0.20082181670687166</v>
      </c>
      <c r="D25" s="8">
        <f t="shared" si="2"/>
        <v>1.6219590512697474E-3</v>
      </c>
    </row>
    <row r="26" spans="1:4" x14ac:dyDescent="0.3">
      <c r="A26" s="7">
        <v>2.4</v>
      </c>
      <c r="B26" s="8">
        <f t="shared" si="0"/>
        <v>2.3999999999999998E-3</v>
      </c>
      <c r="C26" s="8">
        <f t="shared" si="1"/>
        <v>0.20063170650277454</v>
      </c>
      <c r="D26" s="8">
        <f t="shared" si="2"/>
        <v>-5.1743560434922096E-3</v>
      </c>
    </row>
    <row r="27" spans="1:4" x14ac:dyDescent="0.3">
      <c r="A27" s="7">
        <v>2.5</v>
      </c>
      <c r="B27" s="8">
        <f t="shared" si="0"/>
        <v>2.5000000000000001E-3</v>
      </c>
      <c r="C27" s="8">
        <f t="shared" si="1"/>
        <v>0.19983211804310172</v>
      </c>
      <c r="D27" s="8">
        <f t="shared" si="2"/>
        <v>-1.0613584416460046E-2</v>
      </c>
    </row>
    <row r="28" spans="1:4" x14ac:dyDescent="0.3">
      <c r="A28" s="7">
        <v>2.6</v>
      </c>
      <c r="B28" s="8">
        <f t="shared" si="0"/>
        <v>2.6000000000000003E-3</v>
      </c>
      <c r="C28" s="8">
        <f t="shared" si="1"/>
        <v>0.19854586472320598</v>
      </c>
      <c r="D28" s="8">
        <f t="shared" si="2"/>
        <v>-1.4945013197462114E-2</v>
      </c>
    </row>
    <row r="29" spans="1:4" x14ac:dyDescent="0.3">
      <c r="A29" s="7">
        <v>2.7</v>
      </c>
      <c r="B29" s="8">
        <f t="shared" si="0"/>
        <v>2.7000000000000001E-3</v>
      </c>
      <c r="C29" s="8">
        <f t="shared" si="1"/>
        <v>0.19687324536540404</v>
      </c>
      <c r="D29" s="8">
        <f t="shared" si="2"/>
        <v>-1.837129262710507E-2</v>
      </c>
    </row>
    <row r="30" spans="1:4" x14ac:dyDescent="0.3">
      <c r="A30" s="7">
        <v>2.8</v>
      </c>
      <c r="B30" s="8">
        <f t="shared" si="0"/>
        <v>2.8E-3</v>
      </c>
      <c r="C30" s="8">
        <f t="shared" si="1"/>
        <v>0.19489624635719166</v>
      </c>
      <c r="D30" s="8">
        <f t="shared" si="2"/>
        <v>-2.1057356210157838E-2</v>
      </c>
    </row>
    <row r="31" spans="1:4" x14ac:dyDescent="0.3">
      <c r="A31" s="7">
        <v>2.9</v>
      </c>
      <c r="B31" s="8">
        <f t="shared" si="0"/>
        <v>2.8999999999999998E-3</v>
      </c>
      <c r="C31" s="8">
        <f t="shared" si="1"/>
        <v>0.19268193951322324</v>
      </c>
      <c r="D31" s="8">
        <f t="shared" si="2"/>
        <v>-2.31376400971109E-2</v>
      </c>
    </row>
    <row r="32" spans="1:4" x14ac:dyDescent="0.3">
      <c r="A32" s="7">
        <v>3</v>
      </c>
      <c r="B32" s="8">
        <f t="shared" si="0"/>
        <v>3.0000000000000001E-3</v>
      </c>
      <c r="C32" s="8">
        <f t="shared" si="1"/>
        <v>0.19028523017926918</v>
      </c>
      <c r="D32" s="8">
        <f t="shared" si="2"/>
        <v>-2.472190615872075E-2</v>
      </c>
    </row>
    <row r="33" spans="1:4" x14ac:dyDescent="0.3">
      <c r="A33" s="7">
        <v>3.1</v>
      </c>
      <c r="B33" s="8">
        <f t="shared" si="0"/>
        <v>3.1000000000000003E-3</v>
      </c>
      <c r="C33" s="8">
        <f t="shared" si="1"/>
        <v>0.18775108175229138</v>
      </c>
      <c r="D33" s="8">
        <f t="shared" si="2"/>
        <v>-2.5899930571196789E-2</v>
      </c>
    </row>
    <row r="34" spans="1:4" x14ac:dyDescent="0.3">
      <c r="A34" s="7">
        <v>3.2</v>
      </c>
      <c r="B34" s="8">
        <f t="shared" si="0"/>
        <v>3.2000000000000002E-3</v>
      </c>
      <c r="C34" s="8">
        <f t="shared" si="1"/>
        <v>0.18511631877647192</v>
      </c>
      <c r="D34" s="8">
        <f t="shared" si="2"/>
        <v>-2.6745276774314434E-2</v>
      </c>
    </row>
    <row r="35" spans="1:4" x14ac:dyDescent="0.3">
      <c r="A35" s="7">
        <v>3.3</v>
      </c>
      <c r="B35" s="8">
        <f t="shared" si="0"/>
        <v>3.3E-3</v>
      </c>
      <c r="C35" s="8">
        <f t="shared" si="1"/>
        <v>0.18241109088825155</v>
      </c>
      <c r="D35" s="8">
        <f t="shared" si="2"/>
        <v>-2.731833248609649E-2</v>
      </c>
    </row>
    <row r="36" spans="1:4" x14ac:dyDescent="0.3">
      <c r="A36" s="7">
        <v>3.4</v>
      </c>
      <c r="B36" s="8">
        <f t="shared" si="0"/>
        <v>3.3999999999999998E-3</v>
      </c>
      <c r="C36" s="8">
        <f t="shared" si="1"/>
        <v>0.17966006365577847</v>
      </c>
      <c r="D36" s="8">
        <f t="shared" si="2"/>
        <v>-2.7668756568582153E-2</v>
      </c>
    </row>
    <row r="37" spans="1:4" x14ac:dyDescent="0.3">
      <c r="A37" s="7">
        <v>3.5</v>
      </c>
      <c r="B37" s="8">
        <f t="shared" si="0"/>
        <v>3.5000000000000001E-3</v>
      </c>
      <c r="C37" s="8">
        <f t="shared" si="1"/>
        <v>0.17688338924330355</v>
      </c>
      <c r="D37" s="8">
        <f t="shared" si="2"/>
        <v>-2.7837453139344052E-2</v>
      </c>
    </row>
    <row r="38" spans="1:4" x14ac:dyDescent="0.3">
      <c r="A38" s="7">
        <v>3.6</v>
      </c>
      <c r="B38" s="8">
        <f t="shared" si="0"/>
        <v>3.6000000000000003E-3</v>
      </c>
      <c r="C38" s="8">
        <f t="shared" si="1"/>
        <v>0.17409749929763299</v>
      </c>
      <c r="D38" s="8">
        <f t="shared" si="2"/>
        <v>-2.785816699689871E-2</v>
      </c>
    </row>
    <row r="39" spans="1:4" x14ac:dyDescent="0.3">
      <c r="A39" s="7">
        <v>3.7</v>
      </c>
      <c r="B39" s="8">
        <f t="shared" si="0"/>
        <v>3.7000000000000002E-3</v>
      </c>
      <c r="C39" s="8">
        <f t="shared" si="1"/>
        <v>0.17131575402628033</v>
      </c>
      <c r="D39" s="8">
        <f t="shared" si="2"/>
        <v>-2.7758775518359469E-2</v>
      </c>
    </row>
    <row r="40" spans="1:4" x14ac:dyDescent="0.3">
      <c r="A40" s="7">
        <v>3.8</v>
      </c>
      <c r="B40" s="8">
        <f t="shared" si="0"/>
        <v>3.8E-3</v>
      </c>
      <c r="C40" s="8">
        <f t="shared" si="1"/>
        <v>0.16854897470907648</v>
      </c>
      <c r="D40" s="8">
        <f t="shared" si="2"/>
        <v>-2.7562336990084972E-2</v>
      </c>
    </row>
    <row r="41" spans="1:4" x14ac:dyDescent="0.3">
      <c r="A41" s="7">
        <v>3.9</v>
      </c>
      <c r="B41" s="8">
        <f t="shared" si="0"/>
        <v>3.8999999999999998E-3</v>
      </c>
      <c r="C41" s="8">
        <f t="shared" si="1"/>
        <v>0.16580588151909953</v>
      </c>
      <c r="D41" s="8">
        <f t="shared" si="2"/>
        <v>-2.7287943186155367E-2</v>
      </c>
    </row>
    <row r="42" spans="1:4" x14ac:dyDescent="0.3">
      <c r="A42" s="7">
        <v>4</v>
      </c>
      <c r="B42" s="8">
        <f t="shared" si="0"/>
        <v>4.0000000000000001E-3</v>
      </c>
      <c r="C42" s="8">
        <f t="shared" si="1"/>
        <v>0.16309345424939889</v>
      </c>
      <c r="D42" s="8">
        <f t="shared" si="2"/>
        <v>-2.695141433618933E-2</v>
      </c>
    </row>
    <row r="43" spans="1:4" x14ac:dyDescent="0.3">
      <c r="A43" s="7">
        <v>4.0999999999999996</v>
      </c>
      <c r="B43" s="8">
        <f t="shared" si="0"/>
        <v>4.0999999999999995E-3</v>
      </c>
      <c r="C43" s="8">
        <f t="shared" si="1"/>
        <v>0.16041723012702735</v>
      </c>
      <c r="D43" s="8">
        <f t="shared" si="2"/>
        <v>-2.6565866934961498E-2</v>
      </c>
    </row>
    <row r="44" spans="1:4" x14ac:dyDescent="0.3">
      <c r="A44" s="7">
        <v>4.2</v>
      </c>
      <c r="B44" s="8">
        <f t="shared" si="0"/>
        <v>4.2000000000000006E-3</v>
      </c>
      <c r="C44" s="8">
        <f t="shared" si="1"/>
        <v>0.15778155016770593</v>
      </c>
      <c r="D44" s="8">
        <f t="shared" si="2"/>
        <v>-2.6142178739547901E-2</v>
      </c>
    </row>
    <row r="45" spans="1:4" x14ac:dyDescent="0.3">
      <c r="A45" s="7">
        <v>4.3</v>
      </c>
      <c r="B45" s="8">
        <f t="shared" si="0"/>
        <v>4.3E-3</v>
      </c>
      <c r="C45" s="8">
        <f t="shared" si="1"/>
        <v>0.15518976334166912</v>
      </c>
      <c r="D45" s="8">
        <f t="shared" si="2"/>
        <v>-2.5689370449694965E-2</v>
      </c>
    </row>
    <row r="46" spans="1:4" x14ac:dyDescent="0.3">
      <c r="A46" s="7">
        <v>4.4000000000000004</v>
      </c>
      <c r="B46" s="8">
        <f t="shared" si="0"/>
        <v>4.4000000000000003E-3</v>
      </c>
      <c r="C46" s="8">
        <f t="shared" si="1"/>
        <v>0.15264439607174779</v>
      </c>
      <c r="D46" s="8">
        <f t="shared" si="2"/>
        <v>-2.5214919712754275E-2</v>
      </c>
    </row>
    <row r="47" spans="1:4" x14ac:dyDescent="0.3">
      <c r="A47" s="7">
        <v>4.5</v>
      </c>
      <c r="B47" s="8">
        <f t="shared" si="0"/>
        <v>4.5000000000000005E-3</v>
      </c>
      <c r="C47" s="8">
        <f t="shared" si="1"/>
        <v>0.15014729317975239</v>
      </c>
      <c r="D47" s="8">
        <f t="shared" si="2"/>
        <v>-2.4725020028083251E-2</v>
      </c>
    </row>
    <row r="48" spans="1:4" x14ac:dyDescent="0.3">
      <c r="A48" s="7">
        <v>4.5999999999999996</v>
      </c>
      <c r="B48" s="8">
        <f t="shared" si="0"/>
        <v>4.5999999999999999E-3</v>
      </c>
      <c r="C48" s="8">
        <f t="shared" si="1"/>
        <v>0.14769973526649452</v>
      </c>
      <c r="D48" s="8">
        <f t="shared" si="2"/>
        <v>-2.4224794682669186E-2</v>
      </c>
    </row>
    <row r="49" spans="1:4" x14ac:dyDescent="0.3">
      <c r="A49" s="7">
        <v>4.7</v>
      </c>
      <c r="B49" s="8">
        <f t="shared" si="0"/>
        <v>4.7000000000000002E-3</v>
      </c>
      <c r="C49" s="8">
        <f t="shared" si="1"/>
        <v>0.14530253659874789</v>
      </c>
      <c r="D49" s="8">
        <f t="shared" si="2"/>
        <v>-2.371847389983928E-2</v>
      </c>
    </row>
    <row r="50" spans="1:4" x14ac:dyDescent="0.3">
      <c r="A50" s="7">
        <v>4.8</v>
      </c>
      <c r="B50" s="8">
        <f t="shared" si="0"/>
        <v>4.7999999999999996E-3</v>
      </c>
      <c r="C50" s="8">
        <f t="shared" si="1"/>
        <v>0.14295612683911565</v>
      </c>
      <c r="D50" s="8">
        <f t="shared" si="2"/>
        <v>-2.3209541823693274E-2</v>
      </c>
    </row>
    <row r="51" spans="1:4" x14ac:dyDescent="0.3">
      <c r="A51" s="7">
        <v>4.9000000000000004</v>
      </c>
      <c r="B51" s="8">
        <f t="shared" si="0"/>
        <v>4.9000000000000007E-3</v>
      </c>
      <c r="C51" s="8">
        <f t="shared" si="1"/>
        <v>0.14066061935726881</v>
      </c>
      <c r="D51" s="8">
        <f t="shared" si="2"/>
        <v>-2.2700858712478574E-2</v>
      </c>
    </row>
    <row r="52" spans="1:4" x14ac:dyDescent="0.3">
      <c r="A52" s="7">
        <v>5</v>
      </c>
      <c r="B52" s="8">
        <f t="shared" si="0"/>
        <v>5.0000000000000001E-3</v>
      </c>
      <c r="C52" s="8">
        <f t="shared" si="1"/>
        <v>0.13841586837569239</v>
      </c>
      <c r="D52" s="8">
        <f t="shared" si="2"/>
        <v>-2.2194762710775605E-2</v>
      </c>
    </row>
    <row r="53" spans="1:4" x14ac:dyDescent="0.3">
      <c r="A53" s="7">
        <v>5.0999999999999996</v>
      </c>
      <c r="B53" s="8">
        <f t="shared" si="0"/>
        <v>5.0999999999999995E-3</v>
      </c>
      <c r="C53" s="8">
        <f t="shared" si="1"/>
        <v>0.13622151680791608</v>
      </c>
      <c r="D53" s="8">
        <f t="shared" si="2"/>
        <v>-2.169315476279406E-2</v>
      </c>
    </row>
    <row r="54" spans="1:4" x14ac:dyDescent="0.3">
      <c r="A54" s="7">
        <v>5.2</v>
      </c>
      <c r="B54" s="8">
        <f t="shared" si="0"/>
        <v>5.2000000000000006E-3</v>
      </c>
      <c r="C54" s="8">
        <f t="shared" si="1"/>
        <v>0.13407703632471138</v>
      </c>
      <c r="D54" s="8">
        <f t="shared" si="2"/>
        <v>-2.1197569577592858E-2</v>
      </c>
    </row>
    <row r="55" spans="1:4" x14ac:dyDescent="0.3">
      <c r="A55" s="7">
        <v>5.3</v>
      </c>
      <c r="B55" s="8">
        <f t="shared" si="0"/>
        <v>5.3E-3</v>
      </c>
      <c r="C55" s="8">
        <f t="shared" si="1"/>
        <v>0.13198176091992159</v>
      </c>
      <c r="D55" s="8">
        <f t="shared" si="2"/>
        <v>-2.0709235030235824E-2</v>
      </c>
    </row>
    <row r="56" spans="1:4" x14ac:dyDescent="0.3">
      <c r="A56" s="7">
        <v>5.4</v>
      </c>
      <c r="B56" s="8">
        <f t="shared" si="0"/>
        <v>5.4000000000000003E-3</v>
      </c>
      <c r="C56" s="8">
        <f t="shared" si="1"/>
        <v>0.12993491503128204</v>
      </c>
      <c r="D56" s="8">
        <f t="shared" si="2"/>
        <v>-2.022912195591528E-2</v>
      </c>
    </row>
    <row r="57" spans="1:4" x14ac:dyDescent="0.3">
      <c r="A57" s="7">
        <v>5.5</v>
      </c>
      <c r="B57" s="8">
        <f t="shared" si="0"/>
        <v>5.4999999999999997E-3</v>
      </c>
      <c r="C57" s="8">
        <f t="shared" si="1"/>
        <v>0.12793563709382458</v>
      </c>
      <c r="D57" s="8">
        <f t="shared" si="2"/>
        <v>-1.9757985947192223E-2</v>
      </c>
    </row>
    <row r="58" spans="1:4" x14ac:dyDescent="0.3">
      <c r="A58" s="7">
        <v>5.6</v>
      </c>
      <c r="B58" s="8">
        <f t="shared" si="0"/>
        <v>5.5999999999999999E-3</v>
      </c>
      <c r="C58" s="8">
        <f t="shared" si="1"/>
        <v>0.12598299925705131</v>
      </c>
      <c r="D58" s="8">
        <f t="shared" si="2"/>
        <v>-1.9296402482028747E-2</v>
      </c>
    </row>
    <row r="59" spans="1:4" x14ac:dyDescent="0.3">
      <c r="A59" s="7">
        <v>5.7</v>
      </c>
      <c r="B59" s="8">
        <f t="shared" si="0"/>
        <v>5.7000000000000002E-3</v>
      </c>
      <c r="C59" s="8">
        <f t="shared" si="1"/>
        <v>0.12407602387620854</v>
      </c>
      <c r="D59" s="8">
        <f t="shared" si="2"/>
        <v>-1.8844796479736053E-2</v>
      </c>
    </row>
    <row r="60" spans="1:4" x14ac:dyDescent="0.3">
      <c r="A60" s="7">
        <v>5.8</v>
      </c>
      <c r="B60" s="8">
        <f t="shared" si="0"/>
        <v>5.7999999999999996E-3</v>
      </c>
      <c r="C60" s="8">
        <f t="shared" si="1"/>
        <v>0.12221369728802413</v>
      </c>
      <c r="D60" s="8">
        <f t="shared" si="2"/>
        <v>-1.8403467193354426E-2</v>
      </c>
    </row>
    <row r="61" spans="1:4" x14ac:dyDescent="0.3">
      <c r="A61" s="7">
        <v>5.9</v>
      </c>
      <c r="B61" s="8">
        <f t="shared" si="0"/>
        <v>5.9000000000000007E-3</v>
      </c>
      <c r="C61" s="8">
        <f t="shared" si="1"/>
        <v>0.12039498129840677</v>
      </c>
      <c r="D61" s="8">
        <f t="shared" si="2"/>
        <v>-1.7972609192342275E-2</v>
      </c>
    </row>
    <row r="62" spans="1:4" x14ac:dyDescent="0.3">
      <c r="A62" s="7">
        <v>6</v>
      </c>
      <c r="B62" s="8">
        <f t="shared" si="0"/>
        <v>6.0000000000000001E-3</v>
      </c>
      <c r="C62" s="8">
        <f t="shared" si="1"/>
        <v>0.11861882274077706</v>
      </c>
      <c r="D62" s="8">
        <f t="shared" si="2"/>
        <v>-1.7552330062380165E-2</v>
      </c>
    </row>
    <row r="63" spans="1:4" x14ac:dyDescent="0.3">
      <c r="A63" s="7"/>
      <c r="B63" s="8"/>
      <c r="C63" s="8"/>
      <c r="D63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Smitha Subeesh</dc:creator>
  <cp:lastModifiedBy>Shivapriya P</cp:lastModifiedBy>
  <dcterms:created xsi:type="dcterms:W3CDTF">2023-09-13T06:51:37Z</dcterms:created>
  <dcterms:modified xsi:type="dcterms:W3CDTF">2024-08-01T07:03:25Z</dcterms:modified>
</cp:coreProperties>
</file>